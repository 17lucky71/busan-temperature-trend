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인사이트" sheetId="1" state="visible" r:id="rId3"/>
    <sheet name="연도별" sheetId="2" state="visible" r:id="rId4"/>
    <sheet name="월별" sheetId="3" state="visible" r:id="rId5"/>
    <sheet name="급변일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<sst xmlns="http://schemas.openxmlformats.org/spreadsheetml/2006/main" count="73" uniqueCount="69">
  <si>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 xml:space="preserve">부산 기온 트렌드 분석 — 인사이트 정리</t>
  </si>
  <si>
    <r>
      <rPr>
        <i val="true"/>
        <sz val="9"/>
        <color rgb="FF666666"/>
        <rFont val="Noto Sans CJK SC"/>
        <family val="2"/>
      </rPr>
      <t xml:space="preserve">작성 방법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노란 칸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해석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만 직접 채우세요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관찰 수치는 각 시트의 수식에서 자동으로 계산됩니다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</si>
  <si>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i val="true"/>
        <sz val="9"/>
        <color rgb="FF666666"/>
        <rFont val="Noto Sans CJK SC"/>
        <family val="2"/>
      </rPr>
      <t xml:space="preserve">해석 작성 형식 예</t>
    </r>
    <r>
      <rPr>
        <i val="true"/>
        <sz val="9"/>
        <color rgb="FF666666"/>
        <rFont val="맑은 고딕"/>
        <family val="0"/>
        <charset val="1"/>
      </rPr>
      <t xml:space="preserve">: "~</t>
    </r>
    <r>
      <rPr>
        <i val="true"/>
        <sz val="9"/>
        <color rgb="FF666666"/>
        <rFont val="Noto Sans CJK SC"/>
        <family val="2"/>
      </rPr>
      <t xml:space="preserve">때문일 수 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이를 확인하려면 </t>
    </r>
    <r>
      <rPr>
        <i val="true"/>
        <sz val="9"/>
        <color rgb="FF666666"/>
        <rFont val="맑은 고딕"/>
        <family val="0"/>
        <charset val="1"/>
      </rPr>
      <t xml:space="preserve">~</t>
    </r>
    <r>
      <rPr>
        <i val="true"/>
        <sz val="9"/>
        <color rgb="FF666666"/>
        <rFont val="Noto Sans CJK SC"/>
        <family val="2"/>
      </rPr>
      <t xml:space="preserve">를 추가로 봐야 한다</t>
    </r>
    <r>
      <rPr>
        <i val="true"/>
        <sz val="9"/>
        <color rgb="FF666666"/>
        <rFont val="맑은 고딕"/>
        <family val="0"/>
        <charset val="1"/>
      </rPr>
      <t xml:space="preserve">."</t>
    </r>
  </si>
  <si>
    <t xml:space="preserve">인사이트</t>
  </si>
  <si>
    <r>
      <rPr>
        <b val="true"/>
        <sz val="11"/>
        <color rgb="FFFFFFFF"/>
        <rFont val="Noto Sans CJK SC"/>
        <family val="2"/>
      </rPr>
      <t xml:space="preserve">관찰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근거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</si>
  <si>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해석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가설</t>
    </r>
    <r>
      <rPr>
        <b val="true"/>
        <sz val="11"/>
        <color rgb="FFFFFFFF"/>
        <rFont val="맑은 고딕"/>
        <family val="0"/>
        <charset val="1"/>
      </rPr>
      <t xml:space="preserve">) — </t>
    </r>
    <r>
      <rPr>
        <b val="true"/>
        <sz val="11"/>
        <color rgb="FFFFFFFF"/>
        <rFont val="Noto Sans CJK SC"/>
        <family val="2"/>
      </rPr>
      <t xml:space="preserve">직접 작성</t>
    </r>
  </si>
  <si>
    <t xml:space="preserve">관련 그래프</t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</si>
  <si>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장기 추세</t>
    </r>
  </si>
  <si>
    <t xml:space="preserve">01_temp_trend_moving_average.png</t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</si>
  <si>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계절별 변동성</t>
    </r>
  </si>
  <si>
    <t xml:space="preserve">02_monthly_boxplot.png</t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</si>
  <si>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급변일 패턴</t>
    </r>
  </si>
  <si>
    <t xml:space="preserve">03_outlier_by_month.png</t>
  </si>
  <si>
    <t xml:space="preserve">한계점 메모</t>
  </si>
  <si>
    <r>
      <rPr>
        <sz val="11"/>
        <rFont val="맑은 고딕"/>
        <family val="0"/>
        <charset val="1"/>
      </rPr>
      <t xml:space="preserve">· </t>
    </r>
    <r>
      <rPr>
        <sz val="11"/>
        <rFont val="Noto Sans CJK SC"/>
        <family val="2"/>
      </rPr>
      <t xml:space="preserve">분석 기간 </t>
    </r>
    <r>
      <rPr>
        <sz val="11"/>
        <rFont val="맑은 고딕"/>
        <family val="0"/>
        <charset val="1"/>
      </rPr>
      <t xml:space="preserve">6</t>
    </r>
    <r>
      <rPr>
        <sz val="11"/>
        <rFont val="Noto Sans CJK SC"/>
        <family val="2"/>
      </rPr>
      <t xml:space="preserve">년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장기 기후 추세로 일반화하기 어려움</t>
    </r>
  </si>
  <si>
    <r>
      <rPr>
        <sz val="11"/>
        <rFont val="맑은 고딕"/>
        <family val="0"/>
        <charset val="1"/>
      </rPr>
      <t xml:space="preserve">· Open-Meteo </t>
    </r>
    <r>
      <rPr>
        <sz val="11"/>
        <rFont val="Noto Sans CJK SC"/>
        <family val="2"/>
      </rPr>
      <t xml:space="preserve">재분석 격자 데이터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기상청 부산관측소 실측값과 차이 가능</t>
    </r>
  </si>
  <si>
    <r>
      <rPr>
        <sz val="11"/>
        <rFont val="맑은 고딕"/>
        <family val="0"/>
        <charset val="1"/>
      </rPr>
      <t xml:space="preserve">· 01</t>
    </r>
    <r>
      <rPr>
        <sz val="11"/>
        <rFont val="Noto Sans CJK SC"/>
        <family val="2"/>
      </rPr>
      <t xml:space="preserve">번 그래프는 </t>
    </r>
    <r>
      <rPr>
        <sz val="11"/>
        <rFont val="맑은 고딕"/>
        <family val="0"/>
        <charset val="1"/>
      </rPr>
      <t xml:space="preserve">y</t>
    </r>
    <r>
      <rPr>
        <sz val="11"/>
        <rFont val="Noto Sans CJK SC"/>
        <family val="2"/>
      </rPr>
      <t xml:space="preserve">축 범위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약 </t>
    </r>
    <r>
      <rPr>
        <sz val="11"/>
        <rFont val="맑은 고딕"/>
        <family val="0"/>
        <charset val="1"/>
      </rPr>
      <t xml:space="preserve">40℃)</t>
    </r>
    <r>
      <rPr>
        <sz val="11"/>
        <rFont val="Noto Sans CJK SC"/>
        <family val="2"/>
      </rPr>
      <t xml:space="preserve">가 넓어 </t>
    </r>
    <r>
      <rPr>
        <sz val="11"/>
        <rFont val="맑은 고딕"/>
        <family val="0"/>
        <charset val="1"/>
      </rPr>
      <t xml:space="preserve">1℃ </t>
    </r>
    <r>
      <rPr>
        <sz val="11"/>
        <rFont val="Noto Sans CJK SC"/>
        <family val="2"/>
      </rPr>
      <t xml:space="preserve">수준 변화가 평평하게 보임 → 연도별 수치로 확인</t>
    </r>
  </si>
  <si>
    <r>
      <rPr>
        <b val="true"/>
        <sz val="14"/>
        <rFont val="맑은 고딕"/>
        <family val="0"/>
        <charset val="1"/>
      </rPr>
      <t xml:space="preserve">1. </t>
    </r>
    <r>
      <rPr>
        <b val="true"/>
        <sz val="14"/>
        <rFont val="Noto Sans CJK SC"/>
        <family val="2"/>
      </rPr>
      <t xml:space="preserve">연도별 평균기온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장기 추세</t>
    </r>
    <r>
      <rPr>
        <b val="true"/>
        <sz val="14"/>
        <rFont val="맑은 고딕"/>
        <family val="0"/>
        <charset val="1"/>
      </rPr>
      <t xml:space="preserve">)</t>
    </r>
  </si>
  <si>
    <t xml:space="preserve">연도</t>
  </si>
  <si>
    <r>
      <rPr>
        <b val="true"/>
        <sz val="11"/>
        <color rgb="FFFFFFFF"/>
        <rFont val="Noto Sans CJK SC"/>
        <family val="2"/>
      </rPr>
      <t xml:space="preserve">평균기온</t>
    </r>
    <r>
      <rPr>
        <b val="true"/>
        <sz val="11"/>
        <color rgb="FFFFFFFF"/>
        <rFont val="맑은 고딕"/>
        <family val="0"/>
        <charset val="1"/>
      </rPr>
      <t xml:space="preserve">(℃)</t>
    </r>
  </si>
  <si>
    <r>
      <rPr>
        <b val="true"/>
        <sz val="11"/>
        <color rgb="FFFFFFFF"/>
        <rFont val="Noto Sans CJK SC"/>
        <family val="2"/>
      </rPr>
      <t xml:space="preserve">전년 대비</t>
    </r>
    <r>
      <rPr>
        <b val="true"/>
        <sz val="11"/>
        <color rgb="FFFFFFFF"/>
        <rFont val="맑은 고딕"/>
        <family val="0"/>
        <charset val="1"/>
      </rPr>
      <t xml:space="preserve">(℃)</t>
    </r>
  </si>
  <si>
    <t xml:space="preserve">2020</t>
  </si>
  <si>
    <t xml:space="preserve">-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</si>
  <si>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</si>
  <si>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</si>
  <si>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</si>
  <si>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</si>
  <si>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</si>
  <si>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요약</t>
  </si>
  <si>
    <r>
      <rPr>
        <b val="true"/>
        <sz val="11"/>
        <rFont val="Noto Sans CJK SC"/>
        <family val="2"/>
      </rPr>
      <t xml:space="preserve">최고 평균기온</t>
    </r>
    <r>
      <rPr>
        <b val="true"/>
        <sz val="11"/>
        <rFont val="맑은 고딕"/>
        <family val="0"/>
        <charset val="1"/>
      </rPr>
      <t xml:space="preserve">(℃)</t>
    </r>
  </si>
  <si>
    <t xml:space="preserve">최고 연도</t>
  </si>
  <si>
    <r>
      <rPr>
        <b val="true"/>
        <sz val="11"/>
        <rFont val="Noto Sans CJK SC"/>
        <family val="2"/>
      </rPr>
      <t xml:space="preserve">최저 평균기온</t>
    </r>
    <r>
      <rPr>
        <b val="true"/>
        <sz val="11"/>
        <rFont val="맑은 고딕"/>
        <family val="0"/>
        <charset val="1"/>
      </rPr>
      <t xml:space="preserve">(℃)</t>
    </r>
  </si>
  <si>
    <t xml:space="preserve">최저 연도</t>
  </si>
  <si>
    <r>
      <rPr>
        <b val="true"/>
        <sz val="11"/>
        <rFont val="Noto Sans CJK SC"/>
        <family val="2"/>
      </rPr>
      <t xml:space="preserve">최고</t>
    </r>
    <r>
      <rPr>
        <b val="true"/>
        <sz val="11"/>
        <rFont val="맑은 고딕"/>
        <family val="0"/>
        <charset val="1"/>
      </rPr>
      <t xml:space="preserve">-</t>
    </r>
    <r>
      <rPr>
        <b val="true"/>
        <sz val="11"/>
        <rFont val="Noto Sans CJK SC"/>
        <family val="2"/>
      </rPr>
      <t xml:space="preserve">최저 차이</t>
    </r>
    <r>
      <rPr>
        <b val="true"/>
        <sz val="11"/>
        <rFont val="맑은 고딕"/>
        <family val="0"/>
        <charset val="1"/>
      </rPr>
      <t xml:space="preserve">(℃)</t>
    </r>
  </si>
  <si>
    <t xml:space="preserve">전년보다 하락한 해 수</t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</si>
  <si>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맑은 고딕"/>
        <family val="0"/>
        <charset val="1"/>
      </rPr>
      <t xml:space="preserve">: data/analysis_log.txt (analysis.py </t>
    </r>
    <r>
      <rPr>
        <i val="true"/>
        <sz val="9"/>
        <color rgb="FF666666"/>
        <rFont val="Noto Sans CJK SC"/>
        <family val="2"/>
      </rPr>
      <t xml:space="preserve">실행 결과</t>
    </r>
    <r>
      <rPr>
        <i val="true"/>
        <sz val="9"/>
        <color rgb="FF666666"/>
        <rFont val="맑은 고딕"/>
        <family val="0"/>
        <charset val="1"/>
      </rPr>
      <t xml:space="preserve">, Open-Meteo 2020~2025 </t>
    </r>
    <r>
      <rPr>
        <i val="true"/>
        <sz val="9"/>
        <color rgb="FF666666"/>
        <rFont val="Noto Sans CJK SC"/>
        <family val="2"/>
      </rPr>
      <t xml:space="preserve">부산 일별 데이터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</si>
  <si>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주의</t>
    </r>
    <r>
      <rPr>
        <i val="true"/>
        <sz val="9"/>
        <color rgb="FF666666"/>
        <rFont val="맑은 고딕"/>
        <family val="0"/>
        <charset val="1"/>
      </rPr>
      <t xml:space="preserve">: 6</t>
    </r>
    <r>
      <rPr>
        <i val="true"/>
        <sz val="9"/>
        <color rgb="FF666666"/>
        <rFont val="Noto Sans CJK SC"/>
        <family val="2"/>
      </rPr>
      <t xml:space="preserve">년은 기후 추세를 일반화하기엔 짧은 기간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한계점에 기재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</si>
  <si>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r>
      <rPr>
        <b val="true"/>
        <sz val="14"/>
        <rFont val="맑은 고딕"/>
        <family val="0"/>
        <charset val="1"/>
      </rPr>
      <t xml:space="preserve">2. </t>
    </r>
    <r>
      <rPr>
        <b val="true"/>
        <sz val="14"/>
        <rFont val="Noto Sans CJK SC"/>
        <family val="2"/>
      </rPr>
      <t xml:space="preserve">월별 평균기온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표준편차 </t>
    </r>
    <r>
      <rPr>
        <b val="true"/>
        <sz val="14"/>
        <rFont val="맑은 고딕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급변일 수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계절성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변동성</t>
    </r>
    <r>
      <rPr>
        <b val="true"/>
        <sz val="14"/>
        <rFont val="맑은 고딕"/>
        <family val="0"/>
        <charset val="1"/>
      </rPr>
      <t xml:space="preserve">)</t>
    </r>
  </si>
  <si>
    <t xml:space="preserve">월</t>
  </si>
  <si>
    <r>
      <rPr>
        <b val="true"/>
        <sz val="11"/>
        <color rgb="FFFFFFFF"/>
        <rFont val="Noto Sans CJK SC"/>
        <family val="2"/>
      </rPr>
      <t xml:space="preserve">표준편차</t>
    </r>
    <r>
      <rPr>
        <b val="true"/>
        <sz val="11"/>
        <color rgb="FFFFFFFF"/>
        <rFont val="맑은 고딕"/>
        <family val="0"/>
        <charset val="1"/>
      </rPr>
      <t xml:space="preserve">(℃)</t>
    </r>
  </si>
  <si>
    <r>
      <rPr>
        <b val="true"/>
        <sz val="11"/>
        <color rgb="FFFFFFFF"/>
        <rFont val="Noto Sans CJK SC"/>
        <family val="2"/>
      </rPr>
      <t xml:space="preserve">급변일 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</si>
  <si>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sz val="11"/>
        <color rgb="FF0000FF"/>
        <rFont val="맑은 고딕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</si>
  <si>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</si>
  <si>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</si>
  <si>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</si>
  <si>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</si>
  <si>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</si>
  <si>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7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</si>
  <si>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8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</si>
  <si>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9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</si>
  <si>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10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</si>
  <si>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11</t>
    </r>
    <r>
      <rPr>
        <sz val="11"/>
        <color rgb="FF0000FF"/>
        <rFont val="Noto Sans CJK SC"/>
        <family val="2"/>
      </rPr>
      <t xml:space="preserve">월</t>
    </r>
  </si>
  <si>
    <r>
      <rPr>
        <sz val="11"/>
        <color rgb="FF0000FF"/>
        <rFont val="맑은 고딕"/>
        <family val="0"/>
        <charset val="1"/>
      </rPr>
      <t xml:space="preserve">12</t>
    </r>
    <r>
      <rPr>
        <sz val="11"/>
        <color rgb="FF0000FF"/>
        <rFont val="Noto Sans CJK SC"/>
        <family val="2"/>
      </rPr>
      <t xml:space="preserve">월</t>
    </r>
  </si>
  <si>
    <r>
      <rPr>
        <b val="true"/>
        <sz val="11"/>
        <rFont val="Noto Sans CJK SC"/>
        <family val="2"/>
      </rPr>
      <t xml:space="preserve">여름</t>
    </r>
    <r>
      <rPr>
        <b val="true"/>
        <sz val="11"/>
        <rFont val="맑은 고딕"/>
        <family val="0"/>
        <charset val="1"/>
      </rPr>
      <t xml:space="preserve">(6~8</t>
    </r>
    <r>
      <rPr>
        <b val="true"/>
        <sz val="11"/>
        <rFont val="Noto Sans CJK SC"/>
        <family val="2"/>
      </rPr>
      <t xml:space="preserve">월</t>
    </r>
    <r>
      <rPr>
        <b val="true"/>
        <sz val="11"/>
        <rFont val="맑은 고딕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평균 표준편차</t>
    </r>
    <r>
      <rPr>
        <b val="true"/>
        <sz val="11"/>
        <rFont val="맑은 고딕"/>
        <family val="0"/>
        <charset val="1"/>
      </rPr>
      <t xml:space="preserve">(℃)</t>
    </r>
  </si>
  <si>
    <r>
      <rPr>
        <b val="true"/>
        <sz val="11"/>
        <rFont val="맑은 고딕"/>
        <family val="0"/>
        <charset val="1"/>
      </rPr>
      <t xml:space="preserve">11~12</t>
    </r>
    <r>
      <rPr>
        <b val="true"/>
        <sz val="11"/>
        <rFont val="Noto Sans CJK SC"/>
        <family val="2"/>
      </rPr>
      <t xml:space="preserve">월 평균 표준편차</t>
    </r>
    <r>
      <rPr>
        <b val="true"/>
        <sz val="11"/>
        <rFont val="맑은 고딕"/>
        <family val="0"/>
        <charset val="1"/>
      </rPr>
      <t xml:space="preserve">(℃)</t>
    </r>
  </si>
  <si>
    <r>
      <rPr>
        <b val="true"/>
        <sz val="11"/>
        <rFont val="맑은 고딕"/>
        <family val="0"/>
        <charset val="1"/>
      </rPr>
      <t xml:space="preserve">11~12</t>
    </r>
    <r>
      <rPr>
        <b val="true"/>
        <sz val="11"/>
        <rFont val="Noto Sans CJK SC"/>
        <family val="2"/>
      </rPr>
      <t xml:space="preserve">월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여름 변동성 배수</t>
    </r>
  </si>
  <si>
    <r>
      <rPr>
        <b val="true"/>
        <sz val="11"/>
        <rFont val="Noto Sans CJK SC"/>
        <family val="2"/>
      </rPr>
      <t xml:space="preserve">급변일 합계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</si>
  <si>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4~9</t>
    </r>
    <r>
      <rPr>
        <b val="true"/>
        <sz val="11"/>
        <rFont val="Noto Sans CJK SC"/>
        <family val="2"/>
      </rPr>
      <t xml:space="preserve">월 급변일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</si>
  <si>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10~3</t>
    </r>
    <r>
      <rPr>
        <b val="true"/>
        <sz val="11"/>
        <rFont val="Noto Sans CJK SC"/>
        <family val="2"/>
      </rPr>
      <t xml:space="preserve">월 급변일 비율</t>
    </r>
  </si>
  <si>
    <r>
      <rPr>
        <b val="true"/>
        <sz val="14"/>
        <rFont val="맑은 고딕"/>
        <family val="0"/>
        <charset val="1"/>
      </rPr>
      <t xml:space="preserve">3. </t>
    </r>
    <r>
      <rPr>
        <b val="true"/>
        <sz val="14"/>
        <rFont val="Noto Sans CJK SC"/>
        <family val="2"/>
      </rPr>
      <t xml:space="preserve">기온 급변일 방향과 강수</t>
    </r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</si>
  <si>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</si>
  <si>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일수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</si>
  <si>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강수 </t>
    </r>
    <r>
      <rPr>
        <b val="true"/>
        <sz val="11"/>
        <color rgb="FFFFFFFF"/>
        <rFont val="맑은 고딕"/>
        <family val="0"/>
        <charset val="1"/>
      </rPr>
      <t xml:space="preserve">10mm </t>
    </r>
    <r>
      <rPr>
        <b val="true"/>
        <sz val="11"/>
        <color rgb="FFFFFFFF"/>
        <rFont val="Noto Sans CJK SC"/>
        <family val="2"/>
      </rPr>
      <t xml:space="preserve">이상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</si>
  <si>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강수 </t>
    </r>
    <r>
      <rPr>
        <b val="true"/>
        <sz val="11"/>
        <color rgb="FFFFFFFF"/>
        <rFont val="맑은 고딕"/>
        <family val="0"/>
        <charset val="1"/>
      </rPr>
      <t xml:space="preserve">10mm </t>
    </r>
    <r>
      <rPr>
        <b val="true"/>
        <sz val="11"/>
        <color rgb="FFFFFFFF"/>
        <rFont val="Noto Sans CJK SC"/>
        <family val="2"/>
      </rPr>
      <t xml:space="preserve">이상 비율</t>
    </r>
  </si>
  <si>
    <t xml:space="preserve">급상승</t>
  </si>
  <si>
    <t xml:space="preserve">급하강</t>
  </si>
  <si>
    <t xml:space="preserve">합계</t>
  </si>
  <si>
    <r>
      <rPr>
        <b val="true"/>
        <sz val="11"/>
        <rFont val="Noto Sans CJK SC"/>
        <family val="2"/>
      </rPr>
      <t xml:space="preserve">급하강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급상승 배수</t>
    </r>
  </si>
  <si>
    <r>
      <rPr>
        <i val="true"/>
        <sz val="9"/>
        <color rgb="FF666666"/>
        <rFont val="Noto Sans CJK SC"/>
        <family val="2"/>
      </rPr>
      <t xml:space="preserve">급변일 기준</t>
    </r>
    <r>
      <rPr>
        <i val="true"/>
        <sz val="9"/>
        <color rgb="FF666666"/>
        <rFont val="맑은 고딕"/>
        <family val="0"/>
        <charset val="1"/>
      </rPr>
      <t xml:space="preserve">: prepare.py</t>
    </r>
    <r>
      <rPr>
        <i val="true"/>
        <sz val="9"/>
        <color rgb="FF666666"/>
        <rFont val="Noto Sans CJK SC"/>
        <family val="2"/>
      </rPr>
      <t xml:space="preserve">의 </t>
    </r>
    <r>
      <rPr>
        <i val="true"/>
        <sz val="9"/>
        <color rgb="FF666666"/>
        <rFont val="맑은 고딕"/>
        <family val="0"/>
        <charset val="1"/>
      </rPr>
      <t xml:space="preserve">is_outlier </t>
    </r>
    <r>
      <rPr>
        <i val="true"/>
        <sz val="9"/>
        <color rgb="FF666666"/>
        <rFont val="Noto Sans CJK SC"/>
        <family val="2"/>
      </rPr>
      <t xml:space="preserve">플래그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전일 대비 기온 변화가 큰 날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삭제하지 않고 표시만 함</t>
    </r>
    <r>
      <rPr>
        <i val="true"/>
        <sz val="9"/>
        <color rgb="FF666666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</si>
</sst>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+0.00;\-0.00;0.00"/>
    <numFmt numFmtId="167" formatCode="0"/>
    <numFmt numFmtId="168" formatCode="0.0\배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sz val="11"/>
      <color rgb="FF0000FF"/>
      <name val="맑은 고딕"/>
      <family val="0"/>
      <charset val="1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7.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75" hidden="false" customHeight="true" outlineLevel="0" collapsed="false">
      <c r="A6" s="4" t="s">
        <v>7</v>
      </c>
      <c r="B6" s="5" t="str">
        <f aca="false">"최저 "&amp;연도별!B15&amp;"년 "&amp;TEXT(연도별!B14,"0.00")&amp;"℃ → 최고 "&amp;연도별!B13&amp;"년 "&amp;TEXT(연도별!B12,"0.00")&amp;"℃ (차이 "&amp;TEXT(연도별!B16,"0.00")&amp;"℃). 전년보다 하락한 해 "&amp;연도별!B17&amp;"개"</f>
        <v>최저 2020년 13.56℃ → 최고 2024년 14.81℃ (차이 1.25℃). 전년보다 하락한 해 2개</v>
      </c>
      <c r="C6" s="6"/>
      <c r="D6" s="7" t="s">
        <v>8</v>
      </c>
    </row>
    <row r="7" customFormat="false" ht="75" hidden="false" customHeight="true" outlineLevel="0" collapsed="false">
      <c r="A7" s="4" t="s">
        <v>9</v>
      </c>
      <c r="B7" s="5" t="str">
        <f aca="false">"표준편차 여름(6~8월) 평균 "&amp;TEXT(월별!B18,"0.00")&amp;"℃, 11~12월 평균 "&amp;TEXT(월별!B19,"0.00")&amp;"℃ (약 "&amp;TEXT(월별!B20,"0.0")&amp;"배)"</f>
        <v>표준편차 여름(6~8월) 평균 2.00℃, 11~12월 평균 3.97℃ (약 2.0배)</v>
      </c>
      <c r="C7" s="6"/>
      <c r="D7" s="7" t="s">
        <v>10</v>
      </c>
    </row>
    <row r="8" customFormat="false" ht="75" hidden="false" customHeight="true" outlineLevel="0" collapsed="false">
      <c r="A8" s="4" t="s">
        <v>11</v>
      </c>
      <c r="B8" s="5" t="str">
        <f aca="false">"급변일 "&amp;월별!B21&amp;"일 중 10~3월 "&amp;TEXT(월별!B23,"0%")&amp;", 4~9월 "&amp;월별!B22&amp;"일. 급하강 "&amp;급변일!B5&amp;"일 vs 급상승 "&amp;급변일!B4&amp;"일, 비 온 날 비율 급상승 "&amp;TEXT(급변일!D4,"0%")&amp;" / 급하강 "&amp;TEXT(급변일!D5,"0%")</f>
        <v>급변일 37일 중 10~3월 100%, 4~9월 0일. 급하강 29일 vs 급상승 8일, 비 온 날 비율 급상승 50% / 급하강 3%</v>
      </c>
      <c r="C8" s="6"/>
      <c r="D8" s="7" t="s">
        <v>12</v>
      </c>
    </row>
    <row r="10" customFormat="false" ht="15" hidden="false" customHeight="false" outlineLevel="0" collapsed="false">
      <c r="A10" s="8" t="s">
        <v>13</v>
      </c>
    </row>
    <row r="11" customFormat="false" ht="17.15" hidden="false" customHeight="false" outlineLevel="0" collapsed="false">
      <c r="A11" s="9" t="s">
        <v>14</v>
      </c>
    </row>
    <row r="12" customFormat="false" ht="17.15" hidden="false" customHeight="false" outlineLevel="0" collapsed="false">
      <c r="A12" s="9" t="s">
        <v>15</v>
      </c>
    </row>
    <row r="13" customFormat="false" ht="17.15" hidden="false" customHeight="false" outlineLevel="0" collapsed="false">
      <c r="A13" s="9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21.6" hidden="false" customHeight="false" outlineLevel="0" collapsed="false">
      <c r="A1" s="10" t="s">
        <v>17</v>
      </c>
    </row>
    <row r="3" customFormat="false" ht="17.15" hidden="false" customHeight="false" outlineLevel="0" collapsed="false">
      <c r="A3" s="3" t="s">
        <v>18</v>
      </c>
      <c r="B3" s="3" t="s">
        <v>19</v>
      </c>
      <c r="C3" s="3" t="s">
        <v>20</v>
      </c>
    </row>
    <row r="4" customFormat="false" ht="15" hidden="false" customHeight="false" outlineLevel="0" collapsed="false">
      <c r="A4" s="11" t="s">
        <v>21</v>
      </c>
      <c r="B4" s="12" t="n">
        <v>13.56</v>
      </c>
      <c r="C4" s="13" t="s">
        <v>22</v>
      </c>
    </row>
    <row r="5" customFormat="false" ht="15" hidden="false" customHeight="false" outlineLevel="0" collapsed="false">
      <c r="A5" s="11" t="s">
        <v>23</v>
      </c>
      <c r="B5" s="12" t="n">
        <v>14.05</v>
      </c>
      <c r="C5" s="13" t="n">
        <f aca="false">B5-B4</f>
        <v>0.49</v>
      </c>
    </row>
    <row r="6" customFormat="false" ht="15" hidden="false" customHeight="false" outlineLevel="0" collapsed="false">
      <c r="A6" s="11" t="s">
        <v>24</v>
      </c>
      <c r="B6" s="12" t="n">
        <v>13.92</v>
      </c>
      <c r="C6" s="13" t="n">
        <f aca="false">B6-B5</f>
        <v>-0.130000000000001</v>
      </c>
    </row>
    <row r="7" customFormat="false" ht="15" hidden="false" customHeight="false" outlineLevel="0" collapsed="false">
      <c r="A7" s="11" t="s">
        <v>25</v>
      </c>
      <c r="B7" s="12" t="n">
        <v>14.29</v>
      </c>
      <c r="C7" s="13" t="n">
        <f aca="false">B7-B6</f>
        <v>0.369999999999999</v>
      </c>
    </row>
    <row r="8" customFormat="false" ht="15" hidden="false" customHeight="false" outlineLevel="0" collapsed="false">
      <c r="A8" s="11" t="s">
        <v>26</v>
      </c>
      <c r="B8" s="12" t="n">
        <v>14.81</v>
      </c>
      <c r="C8" s="13" t="n">
        <f aca="false">B8-B7</f>
        <v>0.520000000000001</v>
      </c>
    </row>
    <row r="9" customFormat="false" ht="15" hidden="false" customHeight="false" outlineLevel="0" collapsed="false">
      <c r="A9" s="11" t="s">
        <v>27</v>
      </c>
      <c r="B9" s="12" t="n">
        <v>14.39</v>
      </c>
      <c r="C9" s="13" t="n">
        <f aca="false">B9-B8</f>
        <v>-0.42</v>
      </c>
    </row>
    <row r="11" customFormat="false" ht="15" hidden="false" customHeight="false" outlineLevel="0" collapsed="false">
      <c r="A11" s="8" t="s">
        <v>28</v>
      </c>
    </row>
    <row r="12" customFormat="false" ht="17.15" hidden="false" customHeight="false" outlineLevel="0" collapsed="false">
      <c r="A12" s="14" t="s">
        <v>29</v>
      </c>
      <c r="B12" s="15" t="n">
        <f aca="false">MAX(B4:B9)</f>
        <v>14.81</v>
      </c>
    </row>
    <row r="13" customFormat="false" ht="15" hidden="false" customHeight="false" outlineLevel="0" collapsed="false">
      <c r="A13" s="14" t="s">
        <v>30</v>
      </c>
      <c r="B13" s="16" t="str">
        <f aca="false">INDEX(A4:A9,MATCH(B12,B4:B9,0))</f>
        <v>2024</v>
      </c>
    </row>
    <row r="14" customFormat="false" ht="17.15" hidden="false" customHeight="false" outlineLevel="0" collapsed="false">
      <c r="A14" s="14" t="s">
        <v>31</v>
      </c>
      <c r="B14" s="15" t="n">
        <f aca="false">MIN(B4:B9)</f>
        <v>13.56</v>
      </c>
    </row>
    <row r="15" customFormat="false" ht="15" hidden="false" customHeight="false" outlineLevel="0" collapsed="false">
      <c r="A15" s="14" t="s">
        <v>32</v>
      </c>
      <c r="B15" s="16" t="str">
        <f aca="false">INDEX(A4:A9,MATCH(B14,B4:B9,0))</f>
        <v>2020</v>
      </c>
    </row>
    <row r="16" customFormat="false" ht="17.15" hidden="false" customHeight="false" outlineLevel="0" collapsed="false">
      <c r="A16" s="14" t="s">
        <v>33</v>
      </c>
      <c r="B16" s="15" t="n">
        <f aca="false">B12-B14</f>
        <v>1.25</v>
      </c>
    </row>
    <row r="17" customFormat="false" ht="15" hidden="false" customHeight="false" outlineLevel="0" collapsed="false">
      <c r="A17" s="14" t="s">
        <v>34</v>
      </c>
      <c r="B17" s="17" t="n">
        <f aca="false">COUNTIF(C5:C9,"&lt;0")</f>
        <v>2</v>
      </c>
    </row>
    <row r="19" customFormat="false" ht="15" hidden="false" customHeight="false" outlineLevel="0" collapsed="false">
      <c r="A19" s="2" t="s">
        <v>35</v>
      </c>
    </row>
    <row r="20" customFormat="false" ht="15" hidden="false" customHeight="false" outlineLevel="0" collapsed="false">
      <c r="A20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21.6" hidden="false" customHeight="false" outlineLevel="0" collapsed="false">
      <c r="A1" s="10" t="s">
        <v>37</v>
      </c>
    </row>
    <row r="3" customFormat="false" ht="17.15" hidden="false" customHeight="false" outlineLevel="0" collapsed="false">
      <c r="A3" s="3" t="s">
        <v>38</v>
      </c>
      <c r="B3" s="3" t="s">
        <v>19</v>
      </c>
      <c r="C3" s="3" t="s">
        <v>39</v>
      </c>
      <c r="D3" s="3" t="s">
        <v>40</v>
      </c>
    </row>
    <row r="4" customFormat="false" ht="17.15" hidden="false" customHeight="false" outlineLevel="0" collapsed="false">
      <c r="A4" s="11" t="s">
        <v>41</v>
      </c>
      <c r="B4" s="12" t="n">
        <v>1.5</v>
      </c>
      <c r="C4" s="12" t="n">
        <v>3.69</v>
      </c>
      <c r="D4" s="18" t="n">
        <v>7</v>
      </c>
    </row>
    <row r="5" customFormat="false" ht="17.15" hidden="false" customHeight="false" outlineLevel="0" collapsed="false">
      <c r="A5" s="11" t="s">
        <v>42</v>
      </c>
      <c r="B5" s="12" t="n">
        <v>3.5</v>
      </c>
      <c r="C5" s="12" t="n">
        <v>3.84</v>
      </c>
      <c r="D5" s="18" t="n">
        <v>8</v>
      </c>
    </row>
    <row r="6" customFormat="false" ht="17.15" hidden="false" customHeight="false" outlineLevel="0" collapsed="false">
      <c r="A6" s="11" t="s">
        <v>43</v>
      </c>
      <c r="B6" s="12" t="n">
        <v>8.76</v>
      </c>
      <c r="C6" s="12" t="n">
        <v>3.4</v>
      </c>
      <c r="D6" s="18" t="n">
        <v>4</v>
      </c>
    </row>
    <row r="7" customFormat="false" ht="17.15" hidden="false" customHeight="false" outlineLevel="0" collapsed="false">
      <c r="A7" s="11" t="s">
        <v>44</v>
      </c>
      <c r="B7" s="12" t="n">
        <v>13.06</v>
      </c>
      <c r="C7" s="12" t="n">
        <v>2.65</v>
      </c>
      <c r="D7" s="18" t="n">
        <v>0</v>
      </c>
    </row>
    <row r="8" customFormat="false" ht="17.15" hidden="false" customHeight="false" outlineLevel="0" collapsed="false">
      <c r="A8" s="11" t="s">
        <v>45</v>
      </c>
      <c r="B8" s="12" t="n">
        <v>17.28</v>
      </c>
      <c r="C8" s="12" t="n">
        <v>2.48</v>
      </c>
      <c r="D8" s="18" t="n">
        <v>0</v>
      </c>
    </row>
    <row r="9" customFormat="false" ht="17.15" hidden="false" customHeight="false" outlineLevel="0" collapsed="false">
      <c r="A9" s="11" t="s">
        <v>46</v>
      </c>
      <c r="B9" s="12" t="n">
        <v>21.87</v>
      </c>
      <c r="C9" s="12" t="n">
        <v>1.91</v>
      </c>
      <c r="D9" s="18" t="n">
        <v>0</v>
      </c>
    </row>
    <row r="10" customFormat="false" ht="17.15" hidden="false" customHeight="false" outlineLevel="0" collapsed="false">
      <c r="A10" s="11" t="s">
        <v>47</v>
      </c>
      <c r="B10" s="12" t="n">
        <v>25.34</v>
      </c>
      <c r="C10" s="12" t="n">
        <v>2.24</v>
      </c>
      <c r="D10" s="18" t="n">
        <v>0</v>
      </c>
    </row>
    <row r="11" customFormat="false" ht="17.15" hidden="false" customHeight="false" outlineLevel="0" collapsed="false">
      <c r="A11" s="11" t="s">
        <v>48</v>
      </c>
      <c r="B11" s="12" t="n">
        <v>26.66</v>
      </c>
      <c r="C11" s="12" t="n">
        <v>1.85</v>
      </c>
      <c r="D11" s="18" t="n">
        <v>0</v>
      </c>
    </row>
    <row r="12" customFormat="false" ht="17.15" hidden="false" customHeight="false" outlineLevel="0" collapsed="false">
      <c r="A12" s="11" t="s">
        <v>49</v>
      </c>
      <c r="B12" s="12" t="n">
        <v>22.79</v>
      </c>
      <c r="C12" s="12" t="n">
        <v>2.52</v>
      </c>
      <c r="D12" s="18" t="n">
        <v>0</v>
      </c>
    </row>
    <row r="13" customFormat="false" ht="17.15" hidden="false" customHeight="false" outlineLevel="0" collapsed="false">
      <c r="A13" s="11" t="s">
        <v>50</v>
      </c>
      <c r="B13" s="12" t="n">
        <v>16.48</v>
      </c>
      <c r="C13" s="12" t="n">
        <v>3.38</v>
      </c>
      <c r="D13" s="18" t="n">
        <v>1</v>
      </c>
    </row>
    <row r="14" customFormat="false" ht="17.15" hidden="false" customHeight="false" outlineLevel="0" collapsed="false">
      <c r="A14" s="11" t="s">
        <v>51</v>
      </c>
      <c r="B14" s="12" t="n">
        <v>9.96</v>
      </c>
      <c r="C14" s="12" t="n">
        <v>4</v>
      </c>
      <c r="D14" s="18" t="n">
        <v>8</v>
      </c>
    </row>
    <row r="15" customFormat="false" ht="17.15" hidden="false" customHeight="false" outlineLevel="0" collapsed="false">
      <c r="A15" s="11" t="s">
        <v>52</v>
      </c>
      <c r="B15" s="12" t="n">
        <v>2.31</v>
      </c>
      <c r="C15" s="12" t="n">
        <v>3.93</v>
      </c>
      <c r="D15" s="18" t="n">
        <v>9</v>
      </c>
    </row>
    <row r="17" customFormat="false" ht="15" hidden="false" customHeight="false" outlineLevel="0" collapsed="false">
      <c r="A17" s="8" t="s">
        <v>28</v>
      </c>
    </row>
    <row r="18" customFormat="false" ht="17.15" hidden="false" customHeight="false" outlineLevel="0" collapsed="false">
      <c r="A18" s="14" t="s">
        <v>53</v>
      </c>
      <c r="B18" s="15" t="n">
        <f aca="false">AVERAGE(C9:C11)</f>
        <v>2</v>
      </c>
    </row>
    <row r="19" customFormat="false" ht="17.15" hidden="false" customHeight="false" outlineLevel="0" collapsed="false">
      <c r="A19" s="19" t="s">
        <v>54</v>
      </c>
      <c r="B19" s="15" t="n">
        <f aca="false">AVERAGE(C14:C15)</f>
        <v>3.965</v>
      </c>
    </row>
    <row r="20" customFormat="false" ht="17.15" hidden="false" customHeight="false" outlineLevel="0" collapsed="false">
      <c r="A20" s="19" t="s">
        <v>55</v>
      </c>
      <c r="B20" s="20" t="n">
        <f aca="false">B19/B18</f>
        <v>1.9825</v>
      </c>
    </row>
    <row r="21" customFormat="false" ht="17.15" hidden="false" customHeight="false" outlineLevel="0" collapsed="false">
      <c r="A21" s="14" t="s">
        <v>56</v>
      </c>
      <c r="B21" s="17" t="n">
        <f aca="false">SUM(D4:D15)</f>
        <v>37</v>
      </c>
    </row>
    <row r="22" customFormat="false" ht="17.15" hidden="false" customHeight="false" outlineLevel="0" collapsed="false">
      <c r="A22" s="19" t="s">
        <v>57</v>
      </c>
      <c r="B22" s="17" t="n">
        <f aca="false">SUM(D7:D12)</f>
        <v>0</v>
      </c>
    </row>
    <row r="23" customFormat="false" ht="17.15" hidden="false" customHeight="false" outlineLevel="0" collapsed="false">
      <c r="A23" s="19" t="s">
        <v>58</v>
      </c>
      <c r="B23" s="21" t="n">
        <f aca="false">(SUM(D4:D6)+SUM(D13:D15))/B21</f>
        <v>1</v>
      </c>
    </row>
    <row r="25" customFormat="false" ht="15" hidden="false" customHeight="false" outlineLevel="0" collapsed="false">
      <c r="A2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1.6" hidden="false" customHeight="false" outlineLevel="0" collapsed="false">
      <c r="A1" s="10" t="s">
        <v>59</v>
      </c>
    </row>
    <row r="3" customFormat="false" ht="32.8" hidden="false" customHeight="false" outlineLevel="0" collapsed="false">
      <c r="A3" s="3" t="s">
        <v>60</v>
      </c>
      <c r="B3" s="3" t="s">
        <v>61</v>
      </c>
      <c r="C3" s="3" t="s">
        <v>62</v>
      </c>
      <c r="D3" s="3" t="s">
        <v>63</v>
      </c>
    </row>
    <row r="4" customFormat="false" ht="15" hidden="false" customHeight="false" outlineLevel="0" collapsed="false">
      <c r="A4" s="14" t="s">
        <v>64</v>
      </c>
      <c r="B4" s="18" t="n">
        <v>8</v>
      </c>
      <c r="C4" s="18" t="n">
        <v>4</v>
      </c>
      <c r="D4" s="21" t="n">
        <f aca="false">IF(B4=0,0,C4/B4)</f>
        <v>0.5</v>
      </c>
    </row>
    <row r="5" customFormat="false" ht="15" hidden="false" customHeight="false" outlineLevel="0" collapsed="false">
      <c r="A5" s="14" t="s">
        <v>65</v>
      </c>
      <c r="B5" s="18" t="n">
        <v>29</v>
      </c>
      <c r="C5" s="18" t="n">
        <v>1</v>
      </c>
      <c r="D5" s="21" t="n">
        <f aca="false">IF(B5=0,0,C5/B5)</f>
        <v>0.0344827586206897</v>
      </c>
    </row>
    <row r="6" customFormat="false" ht="15" hidden="false" customHeight="false" outlineLevel="0" collapsed="false">
      <c r="A6" s="14" t="s">
        <v>66</v>
      </c>
      <c r="B6" s="17" t="n">
        <f aca="false">SUM(B4:B5)</f>
        <v>37</v>
      </c>
      <c r="C6" s="17" t="n">
        <f aca="false">SUM(C4:C5)</f>
        <v>5</v>
      </c>
      <c r="D6" s="21" t="n">
        <f aca="false">IF(B6=0,0,C6/B6)</f>
        <v>0.135135135135135</v>
      </c>
    </row>
    <row r="8" customFormat="false" ht="17.15" hidden="false" customHeight="false" outlineLevel="0" collapsed="false">
      <c r="A8" s="8" t="s">
        <v>67</v>
      </c>
      <c r="B8" s="20" t="n">
        <f aca="false">B5/B4</f>
        <v>3.625</v>
      </c>
    </row>
    <row r="10" customFormat="false" ht="15" hidden="false" customHeight="false" outlineLevel="0" collapsed="false">
      <c r="A10" s="2" t="s">
        <v>68</v>
      </c>
    </row>
    <row r="11" customFormat="false" ht="15" hidden="false" customHeight="false" outlineLevel="0" collapsed="false">
      <c r="A1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2026-10-05T08:15:15Z</dcterms:created>
  <dc:creator>openpyxl</dc:creator>
  <dc:description/>
  <dc:language>en-US</dc:language>
  <cp:lastModifiedBy/>
  <dcterms:modified xsi:type="dcterms:W3CDTF">2026-10-05T08:15:15Z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